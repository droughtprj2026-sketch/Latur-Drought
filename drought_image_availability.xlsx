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oughtprj@2026\"/>
    </mc:Choice>
  </mc:AlternateContent>
  <xr:revisionPtr revIDLastSave="0" documentId="13_ncr:1_{2CFFDED7-9654-4D98-9151-52243E609E6E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Image_Availability" sheetId="1" r:id="rId1"/>
    <sheet name="Valid_Year_Month" sheetId="2" r:id="rId2"/>
    <sheet name="Indic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" i="1" l="1"/>
  <c r="N11" i="1"/>
  <c r="N10" i="1"/>
  <c r="N9" i="1"/>
  <c r="N8" i="1"/>
  <c r="N7" i="1"/>
  <c r="N6" i="1"/>
  <c r="N5" i="1"/>
  <c r="N4" i="1"/>
  <c r="N3" i="1"/>
  <c r="N2" i="1"/>
  <c r="N14" i="1" l="1"/>
</calcChain>
</file>

<file path=xl/sharedStrings.xml><?xml version="1.0" encoding="utf-8"?>
<sst xmlns="http://schemas.openxmlformats.org/spreadsheetml/2006/main" count="305" uniqueCount="170">
  <si>
    <t>Year</t>
  </si>
  <si>
    <t>Valid months</t>
  </si>
  <si>
    <t>Notes</t>
  </si>
  <si>
    <t>OK</t>
  </si>
  <si>
    <t>Months 6,7,9 blank in sheet - assumed no image (verify)</t>
  </si>
  <si>
    <t>Month 6 blank in sheet (verify)</t>
  </si>
  <si>
    <t>Faint ticks around months 6-7 (verify)</t>
  </si>
  <si>
    <t>X</t>
  </si>
  <si>
    <t>Month 8 crossed out</t>
  </si>
  <si>
    <t>Stars on some months - treated as tick (verify)</t>
  </si>
  <si>
    <t>Months 6-8 marked cc (cloud cover) - skip</t>
  </si>
  <si>
    <t>Jul/Aug cc; Nov/Dec crossed (future data, not yet available)</t>
  </si>
  <si>
    <t>Total valid</t>
  </si>
  <si>
    <t>Legend: OK = tick (accurate image, USE) | X = crossed (SKIP) | CC = cloud-cover mark (SKIP) | - = blank (SKIP). Transcribed from handwritten sheet (Pavan / Rajdhani) - verify flagged rows.</t>
  </si>
  <si>
    <t>Month</t>
  </si>
  <si>
    <t>YYYY-MM</t>
  </si>
  <si>
    <t>2016-01</t>
  </si>
  <si>
    <t>2016-02</t>
  </si>
  <si>
    <t>2016-03</t>
  </si>
  <si>
    <t>2016-04</t>
  </si>
  <si>
    <t>2016-05</t>
  </si>
  <si>
    <t>2016-08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</si>
  <si>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</si>
  <si>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</si>
  <si>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</si>
  <si>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</si>
  <si>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</si>
  <si>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</si>
  <si>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</si>
  <si>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</si>
  <si>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</si>
  <si>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</si>
  <si>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</si>
  <si>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</si>
  <si>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</si>
  <si>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</si>
  <si>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</si>
  <si>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</si>
  <si>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</si>
  <si>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</si>
  <si>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</si>
  <si>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</si>
  <si>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</si>
  <si>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</si>
  <si>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</si>
  <si>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</si>
  <si>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</si>
  <si>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</si>
  <si>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</si>
  <si>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</si>
  <si>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</si>
  <si>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</si>
  <si>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</si>
  <si>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</si>
  <si>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</si>
  <si>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</si>
  <si>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</si>
  <si>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</si>
  <si>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</si>
  <si>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</si>
  <si>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</si>
  <si>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</si>
  <si>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</si>
  <si>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</si>
  <si>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</si>
  <si>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</si>
  <si>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</si>
  <si>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</si>
  <si>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</si>
  <si>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</si>
  <si>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</si>
  <si>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</si>
  <si>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</si>
  <si>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</si>
  <si>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</si>
  <si>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</si>
  <si>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</si>
  <si>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</si>
  <si>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</si>
  <si>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</si>
  <si>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</si>
  <si>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</si>
  <si>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</si>
  <si>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</si>
  <si>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</si>
  <si>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</si>
  <si>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</si>
  <si>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</si>
  <si>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</si>
  <si>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</si>
  <si>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</si>
  <si>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</si>
  <si>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</si>
  <si>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</si>
  <si>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</si>
  <si>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</si>
  <si>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</si>
  <si>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</si>
  <si>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</si>
  <si>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</si>
  <si>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</si>
  <si>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</si>
  <si>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</si>
  <si>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</si>
  <si>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</si>
  <si>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</si>
  <si>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</si>
  <si>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</si>
  <si>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</si>
  <si>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</si>
  <si>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</si>
  <si>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</si>
  <si>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</si>
  <si>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</si>
  <si>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</si>
  <si>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</si>
  <si>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</si>
  <si>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</si>
  <si>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</si>
  <si>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</si>
  <si>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</si>
  <si>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</si>
  <si>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</si>
  <si>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</si>
  <si>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</si>
  <si>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</si>
  <si>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</si>
  <si>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</si>
  <si>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</si>
  <si>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</si>
  <si>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</si>
  <si>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</si>
  <si>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</si>
  <si>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</si>
  <si>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2026-09</t>
  </si>
  <si>
    <t>2026-10</t>
  </si>
  <si>
    <t>Index</t>
  </si>
  <si>
    <t>Formula</t>
  </si>
  <si>
    <t>Sentinel-2/Landsat-8 bands or source</t>
  </si>
  <si>
    <t>Range</t>
  </si>
  <si>
    <t>Role in CDI</t>
  </si>
  <si>
    <t>NDVI</t>
  </si>
  <si>
    <t>(NIR-Red)/(NIR+Red)</t>
  </si>
  <si>
    <t>S2: B8,B4 | L8: B5,B4</t>
  </si>
  <si>
    <t>-1 to 1</t>
  </si>
  <si>
    <t>Base for VCI/VHI</t>
  </si>
  <si>
    <t>EVI</t>
  </si>
  <si>
    <t>2.5*(NIR-Red)/(NIR+6*Red-7.5*Blue+1)</t>
  </si>
  <si>
    <t>S2: B8,B4,B2</t>
  </si>
  <si>
    <t>Vegetation check</t>
  </si>
  <si>
    <t>VCI</t>
  </si>
  <si>
    <t>100*(NDVI-NDVImin)/(NDVImax-NDVImin)</t>
  </si>
  <si>
    <t>Per-pixel, per-month min/max across 2016-2026</t>
  </si>
  <si>
    <t>0-100</t>
  </si>
  <si>
    <t>Vegetation stress</t>
  </si>
  <si>
    <t>TCI</t>
  </si>
  <si>
    <t>100*(BTmax-BT)/(BTmax-BTmin)</t>
  </si>
  <si>
    <t>LST/brightness temp (needed for VHI)</t>
  </si>
  <si>
    <t>Thermal stress</t>
  </si>
  <si>
    <t>VHI</t>
  </si>
  <si>
    <t>a*VCI+(1-a)*TCI (a=0.5)</t>
  </si>
  <si>
    <t>Derived</t>
  </si>
  <si>
    <t>Combined stress</t>
  </si>
  <si>
    <t>PCI</t>
  </si>
  <si>
    <t>100*(P-Pmin)/(Pmax-Pmin)</t>
  </si>
  <si>
    <t>CHIRPS/GPM monthly rainfall</t>
  </si>
  <si>
    <t>Precip stress</t>
  </si>
  <si>
    <t>CDI</t>
  </si>
  <si>
    <t>w1*PCI+w2*VCI+w3*TCI (default 0.5,0.25,0.25)</t>
  </si>
  <si>
    <t>Final composite drought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</si>
</sst>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E7E6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2" sqref="O22"/>
    </sheetView>
  </sheetViews>
  <sheetFormatPr defaultColWidth="8.59765625" defaultRowHeight="14.25" x14ac:dyDescent="0.45"/>
  <cols>
    <col min="1" max="1" width="11" customWidth="1"/>
    <col min="2" max="13" width="5" customWidth="1"/>
    <col min="14" max="14" width="13" customWidth="1"/>
    <col min="15" max="15" width="60" customWidth="1"/>
  </cols>
  <sheetData>
    <row r="1" spans="1:15" x14ac:dyDescent="0.4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 t="s">
        <v>1</v>
      </c>
      <c r="O1" s="2" t="s">
        <v>2</v>
      </c>
    </row>
    <row r="2" spans="1:15" x14ac:dyDescent="0.45">
      <c r="A2" s="3">
        <v>2016</v>
      </c>
      <c r="B2" s="4" t="s">
        <v>3</v>
      </c>
      <c r="C2" s="8" t="s">
        <v>7</v>
      </c>
      <c r="D2" s="4" t="s">
        <v>3</v>
      </c>
      <c r="E2" s="4" t="s">
        <v>3</v>
      </c>
      <c r="F2" s="4" t="s">
        <v>3</v>
      </c>
      <c r="G2" s="8" t="s">
        <v>7</v>
      </c>
      <c r="H2" s="8" t="s">
        <v>7</v>
      </c>
      <c r="I2" s="4" t="s">
        <v>7</v>
      </c>
      <c r="J2" s="8" t="s">
        <v>7</v>
      </c>
      <c r="K2" s="4" t="s">
        <v>3</v>
      </c>
      <c r="L2" s="4" t="s">
        <v>3</v>
      </c>
      <c r="M2" s="4" t="s">
        <v>3</v>
      </c>
      <c r="N2" s="3">
        <f t="shared" ref="N2:N12" si="0">COUNTIF(B2:M2,"OK")</f>
        <v>7</v>
      </c>
      <c r="O2" s="5" t="s">
        <v>4</v>
      </c>
    </row>
    <row r="3" spans="1:15" x14ac:dyDescent="0.45">
      <c r="A3" s="3">
        <v>2017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7</v>
      </c>
      <c r="G3" s="8" t="s">
        <v>7</v>
      </c>
      <c r="H3" s="8" t="s">
        <v>7</v>
      </c>
      <c r="I3" s="8" t="s">
        <v>7</v>
      </c>
      <c r="J3" s="8" t="s">
        <v>7</v>
      </c>
      <c r="K3" s="4" t="s">
        <v>3</v>
      </c>
      <c r="L3" s="4" t="s">
        <v>3</v>
      </c>
      <c r="M3" s="4" t="s">
        <v>3</v>
      </c>
      <c r="N3" s="3">
        <f t="shared" si="0"/>
        <v>7</v>
      </c>
      <c r="O3" s="5" t="s">
        <v>5</v>
      </c>
    </row>
    <row r="4" spans="1:15" x14ac:dyDescent="0.45">
      <c r="A4" s="3">
        <v>2018</v>
      </c>
      <c r="B4" s="4" t="s">
        <v>3</v>
      </c>
      <c r="C4" s="4" t="s">
        <v>3</v>
      </c>
      <c r="D4" s="8" t="s">
        <v>7</v>
      </c>
      <c r="E4" s="4" t="s">
        <v>3</v>
      </c>
      <c r="F4" s="4" t="s">
        <v>3</v>
      </c>
      <c r="G4" s="8" t="s">
        <v>7</v>
      </c>
      <c r="H4" s="8" t="s">
        <v>7</v>
      </c>
      <c r="I4" s="8" t="s">
        <v>7</v>
      </c>
      <c r="J4" s="8" t="s">
        <v>7</v>
      </c>
      <c r="K4" s="8" t="s">
        <v>7</v>
      </c>
      <c r="L4" s="8" t="s">
        <v>7</v>
      </c>
      <c r="M4" s="8" t="s">
        <v>7</v>
      </c>
      <c r="N4" s="3">
        <f t="shared" si="0"/>
        <v>4</v>
      </c>
      <c r="O4" s="5" t="s">
        <v>6</v>
      </c>
    </row>
    <row r="5" spans="1:15" x14ac:dyDescent="0.45">
      <c r="A5" s="3">
        <v>2019</v>
      </c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8" t="s">
        <v>7</v>
      </c>
      <c r="I5" s="8" t="s">
        <v>7</v>
      </c>
      <c r="J5" s="8" t="s">
        <v>7</v>
      </c>
      <c r="K5" s="8" t="s">
        <v>7</v>
      </c>
      <c r="L5" s="4" t="s">
        <v>3</v>
      </c>
      <c r="M5" s="4" t="s">
        <v>3</v>
      </c>
      <c r="N5" s="3">
        <f t="shared" si="0"/>
        <v>8</v>
      </c>
      <c r="O5" s="5"/>
    </row>
    <row r="6" spans="1:15" x14ac:dyDescent="0.45">
      <c r="A6" s="3">
        <v>2020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8" t="s">
        <v>7</v>
      </c>
      <c r="I6" s="8" t="s">
        <v>7</v>
      </c>
      <c r="J6" s="8" t="s">
        <v>7</v>
      </c>
      <c r="K6" s="4" t="s">
        <v>3</v>
      </c>
      <c r="L6" s="4" t="s">
        <v>3</v>
      </c>
      <c r="M6" s="4" t="s">
        <v>3</v>
      </c>
      <c r="N6" s="3">
        <f t="shared" si="0"/>
        <v>9</v>
      </c>
      <c r="O6" s="5"/>
    </row>
    <row r="7" spans="1:15" x14ac:dyDescent="0.45">
      <c r="A7" s="3">
        <v>2021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8" t="s">
        <v>7</v>
      </c>
      <c r="H7" s="8" t="s">
        <v>7</v>
      </c>
      <c r="I7" s="8" t="s">
        <v>7</v>
      </c>
      <c r="J7" s="8" t="s">
        <v>7</v>
      </c>
      <c r="K7" s="4" t="s">
        <v>3</v>
      </c>
      <c r="L7" s="4" t="s">
        <v>3</v>
      </c>
      <c r="M7" s="4" t="s">
        <v>3</v>
      </c>
      <c r="N7" s="3">
        <f t="shared" si="0"/>
        <v>8</v>
      </c>
      <c r="O7" s="5" t="s">
        <v>8</v>
      </c>
    </row>
    <row r="8" spans="1:15" x14ac:dyDescent="0.45">
      <c r="A8" s="3">
        <v>2022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8" t="s">
        <v>7</v>
      </c>
      <c r="H8" s="8" t="s">
        <v>7</v>
      </c>
      <c r="I8" s="8" t="s">
        <v>7</v>
      </c>
      <c r="J8" s="8" t="s">
        <v>7</v>
      </c>
      <c r="K8" s="4" t="s">
        <v>3</v>
      </c>
      <c r="L8" s="4" t="s">
        <v>3</v>
      </c>
      <c r="M8" s="4" t="s">
        <v>3</v>
      </c>
      <c r="N8" s="3">
        <f t="shared" si="0"/>
        <v>8</v>
      </c>
      <c r="O8" s="5" t="s">
        <v>9</v>
      </c>
    </row>
    <row r="9" spans="1:15" x14ac:dyDescent="0.45">
      <c r="A9" s="3">
        <v>2023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8" t="s">
        <v>7</v>
      </c>
      <c r="I9" s="8" t="s">
        <v>7</v>
      </c>
      <c r="J9" s="8" t="s">
        <v>7</v>
      </c>
      <c r="K9" s="8" t="s">
        <v>7</v>
      </c>
      <c r="L9" s="8" t="s">
        <v>7</v>
      </c>
      <c r="M9" s="4" t="s">
        <v>3</v>
      </c>
      <c r="N9" s="3">
        <f t="shared" si="0"/>
        <v>7</v>
      </c>
      <c r="O9" s="5"/>
    </row>
    <row r="10" spans="1:15" x14ac:dyDescent="0.45">
      <c r="A10" s="3">
        <v>2024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8" t="s">
        <v>7</v>
      </c>
      <c r="H10" s="8" t="s">
        <v>7</v>
      </c>
      <c r="I10" s="8" t="s">
        <v>7</v>
      </c>
      <c r="J10" s="8" t="s">
        <v>7</v>
      </c>
      <c r="K10" s="4" t="s">
        <v>3</v>
      </c>
      <c r="L10" s="4" t="s">
        <v>3</v>
      </c>
      <c r="M10" s="4" t="s">
        <v>3</v>
      </c>
      <c r="N10" s="3">
        <f t="shared" si="0"/>
        <v>8</v>
      </c>
      <c r="O10" s="5" t="s">
        <v>10</v>
      </c>
    </row>
    <row r="11" spans="1:15" x14ac:dyDescent="0.45">
      <c r="A11" s="3">
        <v>2025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8" t="s">
        <v>7</v>
      </c>
      <c r="H11" s="8" t="s">
        <v>7</v>
      </c>
      <c r="I11" s="8" t="s">
        <v>7</v>
      </c>
      <c r="J11" s="4" t="s">
        <v>3</v>
      </c>
      <c r="K11" s="4" t="s">
        <v>3</v>
      </c>
      <c r="L11" s="4" t="s">
        <v>3</v>
      </c>
      <c r="M11" s="4" t="s">
        <v>3</v>
      </c>
      <c r="N11" s="3">
        <f t="shared" si="0"/>
        <v>9</v>
      </c>
      <c r="O11" s="5"/>
    </row>
    <row r="12" spans="1:15" x14ac:dyDescent="0.45">
      <c r="A12" s="3">
        <v>2026</v>
      </c>
      <c r="B12" s="4" t="s">
        <v>3</v>
      </c>
      <c r="C12" s="4" t="s">
        <v>3</v>
      </c>
      <c r="D12" s="4" t="s">
        <v>3</v>
      </c>
      <c r="E12" s="4" t="s">
        <v>3</v>
      </c>
      <c r="F12" s="4" t="s">
        <v>3</v>
      </c>
      <c r="G12" s="4" t="s">
        <v>3</v>
      </c>
      <c r="H12" s="8" t="s">
        <v>7</v>
      </c>
      <c r="I12" s="8" t="s">
        <v>7</v>
      </c>
      <c r="J12" s="4" t="s">
        <v>3</v>
      </c>
      <c r="K12" s="4" t="s">
        <v>3</v>
      </c>
      <c r="L12" s="8"/>
      <c r="M12" s="8"/>
      <c r="N12" s="3">
        <f t="shared" si="0"/>
        <v>8</v>
      </c>
      <c r="O12" s="5" t="s">
        <v>11</v>
      </c>
    </row>
    <row r="14" spans="1:15" x14ac:dyDescent="0.45">
      <c r="A14" s="6" t="s">
        <v>12</v>
      </c>
      <c r="N14" s="6">
        <f>SUM(N2:N12)</f>
        <v>83</v>
      </c>
    </row>
    <row r="16" spans="1:15" x14ac:dyDescent="0.45">
      <c r="A16" s="7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zoomScaleNormal="100" workbookViewId="0"/>
  </sheetViews>
  <sheetFormatPr defaultColWidth="8.59765625" defaultRowHeight="14.25" x14ac:dyDescent="0.45"/>
  <cols>
    <col min="1" max="3" width="12" customWidth="1"/>
  </cols>
  <sheetData>
    <row r="1" spans="1:3" x14ac:dyDescent="0.45">
      <c r="A1" s="6" t="s">
        <v>0</v>
      </c>
      <c r="B1" s="6" t="s">
        <v>14</v>
      </c>
      <c r="C1" s="6" t="s">
        <v>15</v>
      </c>
    </row>
    <row r="2" spans="1:3" x14ac:dyDescent="0.45">
      <c r="A2" s="7">
        <v>2016</v>
      </c>
      <c r="B2" s="7">
        <v>1</v>
      </c>
      <c r="C2" s="7" t="s">
        <v>16</v>
      </c>
    </row>
    <row r="3" spans="1:3" x14ac:dyDescent="0.45">
      <c r="A3" s="7">
        <v>2016</v>
      </c>
      <c r="B3" s="7">
        <v>2</v>
      </c>
      <c r="C3" s="7" t="s">
        <v>17</v>
      </c>
    </row>
    <row r="4" spans="1:3" x14ac:dyDescent="0.45">
      <c r="A4" s="7">
        <v>2016</v>
      </c>
      <c r="B4" s="7">
        <v>3</v>
      </c>
      <c r="C4" s="7" t="s">
        <v>18</v>
      </c>
    </row>
    <row r="5" spans="1:3" x14ac:dyDescent="0.45">
      <c r="A5" s="7">
        <v>2016</v>
      </c>
      <c r="B5" s="7">
        <v>4</v>
      </c>
      <c r="C5" s="7" t="s">
        <v>19</v>
      </c>
    </row>
    <row r="6" spans="1:3" x14ac:dyDescent="0.45">
      <c r="A6" s="7">
        <v>2016</v>
      </c>
      <c r="B6" s="7">
        <v>5</v>
      </c>
      <c r="C6" s="7" t="s">
        <v>20</v>
      </c>
    </row>
    <row r="7" spans="1:3" x14ac:dyDescent="0.45">
      <c r="A7" s="7">
        <v>2016</v>
      </c>
      <c r="B7" s="7">
        <v>8</v>
      </c>
      <c r="C7" s="7" t="s">
        <v>21</v>
      </c>
    </row>
    <row r="8" spans="1:3" x14ac:dyDescent="0.45">
      <c r="A8" s="7">
        <v>2016</v>
      </c>
      <c r="B8" s="7">
        <v>10</v>
      </c>
      <c r="C8" s="7" t="s">
        <v>22</v>
      </c>
    </row>
    <row r="9" spans="1:3" x14ac:dyDescent="0.45">
      <c r="A9" s="7">
        <v>2016</v>
      </c>
      <c r="B9" s="7">
        <v>11</v>
      </c>
      <c r="C9" s="7" t="s">
        <v>23</v>
      </c>
    </row>
    <row r="10" spans="1:3" x14ac:dyDescent="0.45">
      <c r="A10" s="7">
        <v>2016</v>
      </c>
      <c r="B10" s="7">
        <v>12</v>
      </c>
      <c r="C10" s="7" t="s">
        <v>24</v>
      </c>
    </row>
    <row r="11" spans="1:3" x14ac:dyDescent="0.45">
      <c r="A11" s="7">
        <v>2017</v>
      </c>
      <c r="B11" s="7">
        <v>1</v>
      </c>
      <c r="C11" s="7" t="s">
        <v>25</v>
      </c>
    </row>
    <row r="12" spans="1:3" x14ac:dyDescent="0.45">
      <c r="A12" s="7">
        <v>2017</v>
      </c>
      <c r="B12" s="7">
        <v>2</v>
      </c>
      <c r="C12" s="7" t="s">
        <v>26</v>
      </c>
    </row>
    <row r="13" spans="1:3" x14ac:dyDescent="0.45">
      <c r="A13" s="7">
        <v>2017</v>
      </c>
      <c r="B13" s="7">
        <v>3</v>
      </c>
      <c r="C13" s="7" t="s">
        <v>27</v>
      </c>
    </row>
    <row r="14" spans="1:3" x14ac:dyDescent="0.45">
      <c r="A14" s="7">
        <v>2017</v>
      </c>
      <c r="B14" s="7">
        <v>4</v>
      </c>
      <c r="C14" s="7" t="s">
        <v>28</v>
      </c>
    </row>
    <row r="15" spans="1:3" x14ac:dyDescent="0.45">
      <c r="A15" s="7">
        <v>2017</v>
      </c>
      <c r="B15" s="7">
        <v>5</v>
      </c>
      <c r="C15" s="7" t="s">
        <v>29</v>
      </c>
    </row>
    <row r="16" spans="1:3" x14ac:dyDescent="0.45">
      <c r="A16" s="7">
        <v>2017</v>
      </c>
      <c r="B16" s="7">
        <v>7</v>
      </c>
      <c r="C16" s="7" t="s">
        <v>30</v>
      </c>
    </row>
    <row r="17" spans="1:3" x14ac:dyDescent="0.45">
      <c r="A17" s="7">
        <v>2017</v>
      </c>
      <c r="B17" s="7">
        <v>8</v>
      </c>
      <c r="C17" s="7" t="s">
        <v>31</v>
      </c>
    </row>
    <row r="18" spans="1:3" x14ac:dyDescent="0.45">
      <c r="A18" s="7">
        <v>2017</v>
      </c>
      <c r="B18" s="7">
        <v>9</v>
      </c>
      <c r="C18" s="7" t="s">
        <v>32</v>
      </c>
    </row>
    <row r="19" spans="1:3" x14ac:dyDescent="0.45">
      <c r="A19" s="7">
        <v>2017</v>
      </c>
      <c r="B19" s="7">
        <v>10</v>
      </c>
      <c r="C19" s="7" t="s">
        <v>33</v>
      </c>
    </row>
    <row r="20" spans="1:3" x14ac:dyDescent="0.45">
      <c r="A20" s="7">
        <v>2017</v>
      </c>
      <c r="B20" s="7">
        <v>11</v>
      </c>
      <c r="C20" s="7" t="s">
        <v>34</v>
      </c>
    </row>
    <row r="21" spans="1:3" x14ac:dyDescent="0.45">
      <c r="A21" s="7">
        <v>2017</v>
      </c>
      <c r="B21" s="7">
        <v>12</v>
      </c>
      <c r="C21" s="7" t="s">
        <v>35</v>
      </c>
    </row>
    <row r="22" spans="1:3" x14ac:dyDescent="0.45">
      <c r="A22" s="7">
        <v>2018</v>
      </c>
      <c r="B22" s="7">
        <v>1</v>
      </c>
      <c r="C22" s="7" t="s">
        <v>36</v>
      </c>
    </row>
    <row r="23" spans="1:3" x14ac:dyDescent="0.45">
      <c r="A23" s="7">
        <v>2018</v>
      </c>
      <c r="B23" s="7">
        <v>2</v>
      </c>
      <c r="C23" s="7" t="s">
        <v>37</v>
      </c>
    </row>
    <row r="24" spans="1:3" x14ac:dyDescent="0.45">
      <c r="A24" s="7">
        <v>2018</v>
      </c>
      <c r="B24" s="7">
        <v>3</v>
      </c>
      <c r="C24" s="7" t="s">
        <v>38</v>
      </c>
    </row>
    <row r="25" spans="1:3" x14ac:dyDescent="0.45">
      <c r="A25" s="7">
        <v>2018</v>
      </c>
      <c r="B25" s="7">
        <v>4</v>
      </c>
      <c r="C25" s="7" t="s">
        <v>39</v>
      </c>
    </row>
    <row r="26" spans="1:3" x14ac:dyDescent="0.45">
      <c r="A26" s="7">
        <v>2018</v>
      </c>
      <c r="B26" s="7">
        <v>5</v>
      </c>
      <c r="C26" s="7" t="s">
        <v>40</v>
      </c>
    </row>
    <row r="27" spans="1:3" x14ac:dyDescent="0.45">
      <c r="A27" s="7">
        <v>2018</v>
      </c>
      <c r="B27" s="7">
        <v>6</v>
      </c>
      <c r="C27" s="7" t="s">
        <v>41</v>
      </c>
    </row>
    <row r="28" spans="1:3" x14ac:dyDescent="0.45">
      <c r="A28" s="7">
        <v>2018</v>
      </c>
      <c r="B28" s="7">
        <v>7</v>
      </c>
      <c r="C28" s="7" t="s">
        <v>42</v>
      </c>
    </row>
    <row r="29" spans="1:3" x14ac:dyDescent="0.45">
      <c r="A29" s="7">
        <v>2018</v>
      </c>
      <c r="B29" s="7">
        <v>8</v>
      </c>
      <c r="C29" s="7" t="s">
        <v>43</v>
      </c>
    </row>
    <row r="30" spans="1:3" x14ac:dyDescent="0.45">
      <c r="A30" s="7">
        <v>2018</v>
      </c>
      <c r="B30" s="7">
        <v>9</v>
      </c>
      <c r="C30" s="7" t="s">
        <v>44</v>
      </c>
    </row>
    <row r="31" spans="1:3" x14ac:dyDescent="0.45">
      <c r="A31" s="7">
        <v>2018</v>
      </c>
      <c r="B31" s="7">
        <v>10</v>
      </c>
      <c r="C31" s="7" t="s">
        <v>45</v>
      </c>
    </row>
    <row r="32" spans="1:3" x14ac:dyDescent="0.45">
      <c r="A32" s="7">
        <v>2018</v>
      </c>
      <c r="B32" s="7">
        <v>11</v>
      </c>
      <c r="C32" s="7" t="s">
        <v>46</v>
      </c>
    </row>
    <row r="33" spans="1:3" x14ac:dyDescent="0.45">
      <c r="A33" s="7">
        <v>2018</v>
      </c>
      <c r="B33" s="7">
        <v>12</v>
      </c>
      <c r="C33" s="7" t="s">
        <v>47</v>
      </c>
    </row>
    <row r="34" spans="1:3" x14ac:dyDescent="0.45">
      <c r="A34" s="7">
        <v>2019</v>
      </c>
      <c r="B34" s="7">
        <v>1</v>
      </c>
      <c r="C34" s="7" t="s">
        <v>48</v>
      </c>
    </row>
    <row r="35" spans="1:3" x14ac:dyDescent="0.45">
      <c r="A35" s="7">
        <v>2019</v>
      </c>
      <c r="B35" s="7">
        <v>2</v>
      </c>
      <c r="C35" s="7" t="s">
        <v>49</v>
      </c>
    </row>
    <row r="36" spans="1:3" x14ac:dyDescent="0.45">
      <c r="A36" s="7">
        <v>2019</v>
      </c>
      <c r="B36" s="7">
        <v>3</v>
      </c>
      <c r="C36" s="7" t="s">
        <v>50</v>
      </c>
    </row>
    <row r="37" spans="1:3" x14ac:dyDescent="0.45">
      <c r="A37" s="7">
        <v>2019</v>
      </c>
      <c r="B37" s="7">
        <v>4</v>
      </c>
      <c r="C37" s="7" t="s">
        <v>51</v>
      </c>
    </row>
    <row r="38" spans="1:3" x14ac:dyDescent="0.45">
      <c r="A38" s="7">
        <v>2019</v>
      </c>
      <c r="B38" s="7">
        <v>5</v>
      </c>
      <c r="C38" s="7" t="s">
        <v>52</v>
      </c>
    </row>
    <row r="39" spans="1:3" x14ac:dyDescent="0.45">
      <c r="A39" s="7">
        <v>2019</v>
      </c>
      <c r="B39" s="7">
        <v>6</v>
      </c>
      <c r="C39" s="7" t="s">
        <v>53</v>
      </c>
    </row>
    <row r="40" spans="1:3" x14ac:dyDescent="0.45">
      <c r="A40" s="7">
        <v>2019</v>
      </c>
      <c r="B40" s="7">
        <v>7</v>
      </c>
      <c r="C40" s="7" t="s">
        <v>54</v>
      </c>
    </row>
    <row r="41" spans="1:3" x14ac:dyDescent="0.45">
      <c r="A41" s="7">
        <v>2019</v>
      </c>
      <c r="B41" s="7">
        <v>8</v>
      </c>
      <c r="C41" s="7" t="s">
        <v>55</v>
      </c>
    </row>
    <row r="42" spans="1:3" x14ac:dyDescent="0.45">
      <c r="A42" s="7">
        <v>2019</v>
      </c>
      <c r="B42" s="7">
        <v>9</v>
      </c>
      <c r="C42" s="7" t="s">
        <v>56</v>
      </c>
    </row>
    <row r="43" spans="1:3" x14ac:dyDescent="0.45">
      <c r="A43" s="7">
        <v>2019</v>
      </c>
      <c r="B43" s="7">
        <v>10</v>
      </c>
      <c r="C43" s="7" t="s">
        <v>57</v>
      </c>
    </row>
    <row r="44" spans="1:3" x14ac:dyDescent="0.45">
      <c r="A44" s="7">
        <v>2019</v>
      </c>
      <c r="B44" s="7">
        <v>11</v>
      </c>
      <c r="C44" s="7" t="s">
        <v>58</v>
      </c>
    </row>
    <row r="45" spans="1:3" x14ac:dyDescent="0.45">
      <c r="A45" s="7">
        <v>2019</v>
      </c>
      <c r="B45" s="7">
        <v>12</v>
      </c>
      <c r="C45" s="7" t="s">
        <v>59</v>
      </c>
    </row>
    <row r="46" spans="1:3" x14ac:dyDescent="0.45">
      <c r="A46" s="7">
        <v>2020</v>
      </c>
      <c r="B46" s="7">
        <v>1</v>
      </c>
      <c r="C46" s="7" t="s">
        <v>60</v>
      </c>
    </row>
    <row r="47" spans="1:3" x14ac:dyDescent="0.45">
      <c r="A47" s="7">
        <v>2020</v>
      </c>
      <c r="B47" s="7">
        <v>2</v>
      </c>
      <c r="C47" s="7" t="s">
        <v>61</v>
      </c>
    </row>
    <row r="48" spans="1:3" x14ac:dyDescent="0.45">
      <c r="A48" s="7">
        <v>2020</v>
      </c>
      <c r="B48" s="7">
        <v>3</v>
      </c>
      <c r="C48" s="7" t="s">
        <v>62</v>
      </c>
    </row>
    <row r="49" spans="1:3" x14ac:dyDescent="0.45">
      <c r="A49" s="7">
        <v>2020</v>
      </c>
      <c r="B49" s="7">
        <v>4</v>
      </c>
      <c r="C49" s="7" t="s">
        <v>63</v>
      </c>
    </row>
    <row r="50" spans="1:3" x14ac:dyDescent="0.45">
      <c r="A50" s="7">
        <v>2020</v>
      </c>
      <c r="B50" s="7">
        <v>5</v>
      </c>
      <c r="C50" s="7" t="s">
        <v>64</v>
      </c>
    </row>
    <row r="51" spans="1:3" x14ac:dyDescent="0.45">
      <c r="A51" s="7">
        <v>2020</v>
      </c>
      <c r="B51" s="7">
        <v>6</v>
      </c>
      <c r="C51" s="7" t="s">
        <v>65</v>
      </c>
    </row>
    <row r="52" spans="1:3" x14ac:dyDescent="0.45">
      <c r="A52" s="7">
        <v>2020</v>
      </c>
      <c r="B52" s="7">
        <v>7</v>
      </c>
      <c r="C52" s="7" t="s">
        <v>66</v>
      </c>
    </row>
    <row r="53" spans="1:3" x14ac:dyDescent="0.45">
      <c r="A53" s="7">
        <v>2020</v>
      </c>
      <c r="B53" s="7">
        <v>8</v>
      </c>
      <c r="C53" s="7" t="s">
        <v>67</v>
      </c>
    </row>
    <row r="54" spans="1:3" x14ac:dyDescent="0.45">
      <c r="A54" s="7">
        <v>2020</v>
      </c>
      <c r="B54" s="7">
        <v>9</v>
      </c>
      <c r="C54" s="7" t="s">
        <v>68</v>
      </c>
    </row>
    <row r="55" spans="1:3" x14ac:dyDescent="0.45">
      <c r="A55" s="7">
        <v>2020</v>
      </c>
      <c r="B55" s="7">
        <v>10</v>
      </c>
      <c r="C55" s="7" t="s">
        <v>69</v>
      </c>
    </row>
    <row r="56" spans="1:3" x14ac:dyDescent="0.45">
      <c r="A56" s="7">
        <v>2020</v>
      </c>
      <c r="B56" s="7">
        <v>11</v>
      </c>
      <c r="C56" s="7" t="s">
        <v>70</v>
      </c>
    </row>
    <row r="57" spans="1:3" x14ac:dyDescent="0.45">
      <c r="A57" s="7">
        <v>2020</v>
      </c>
      <c r="B57" s="7">
        <v>12</v>
      </c>
      <c r="C57" s="7" t="s">
        <v>71</v>
      </c>
    </row>
    <row r="58" spans="1:3" x14ac:dyDescent="0.45">
      <c r="A58" s="7">
        <v>2021</v>
      </c>
      <c r="B58" s="7">
        <v>1</v>
      </c>
      <c r="C58" s="7" t="s">
        <v>72</v>
      </c>
    </row>
    <row r="59" spans="1:3" x14ac:dyDescent="0.45">
      <c r="A59" s="7">
        <v>2021</v>
      </c>
      <c r="B59" s="7">
        <v>2</v>
      </c>
      <c r="C59" s="7" t="s">
        <v>73</v>
      </c>
    </row>
    <row r="60" spans="1:3" x14ac:dyDescent="0.45">
      <c r="A60" s="7">
        <v>2021</v>
      </c>
      <c r="B60" s="7">
        <v>3</v>
      </c>
      <c r="C60" s="7" t="s">
        <v>74</v>
      </c>
    </row>
    <row r="61" spans="1:3" x14ac:dyDescent="0.45">
      <c r="A61" s="7">
        <v>2021</v>
      </c>
      <c r="B61" s="7">
        <v>4</v>
      </c>
      <c r="C61" s="7" t="s">
        <v>75</v>
      </c>
    </row>
    <row r="62" spans="1:3" x14ac:dyDescent="0.45">
      <c r="A62" s="7">
        <v>2021</v>
      </c>
      <c r="B62" s="7">
        <v>5</v>
      </c>
      <c r="C62" s="7" t="s">
        <v>76</v>
      </c>
    </row>
    <row r="63" spans="1:3" x14ac:dyDescent="0.45">
      <c r="A63" s="7">
        <v>2021</v>
      </c>
      <c r="B63" s="7">
        <v>6</v>
      </c>
      <c r="C63" s="7" t="s">
        <v>77</v>
      </c>
    </row>
    <row r="64" spans="1:3" x14ac:dyDescent="0.45">
      <c r="A64" s="7">
        <v>2021</v>
      </c>
      <c r="B64" s="7">
        <v>7</v>
      </c>
      <c r="C64" s="7" t="s">
        <v>78</v>
      </c>
    </row>
    <row r="65" spans="1:3" x14ac:dyDescent="0.45">
      <c r="A65" s="7">
        <v>2021</v>
      </c>
      <c r="B65" s="7">
        <v>9</v>
      </c>
      <c r="C65" s="7" t="s">
        <v>79</v>
      </c>
    </row>
    <row r="66" spans="1:3" x14ac:dyDescent="0.45">
      <c r="A66" s="7">
        <v>2021</v>
      </c>
      <c r="B66" s="7">
        <v>10</v>
      </c>
      <c r="C66" s="7" t="s">
        <v>80</v>
      </c>
    </row>
    <row r="67" spans="1:3" x14ac:dyDescent="0.45">
      <c r="A67" s="7">
        <v>2021</v>
      </c>
      <c r="B67" s="7">
        <v>11</v>
      </c>
      <c r="C67" s="7" t="s">
        <v>81</v>
      </c>
    </row>
    <row r="68" spans="1:3" x14ac:dyDescent="0.45">
      <c r="A68" s="7">
        <v>2021</v>
      </c>
      <c r="B68" s="7">
        <v>12</v>
      </c>
      <c r="C68" s="7" t="s">
        <v>82</v>
      </c>
    </row>
    <row r="69" spans="1:3" x14ac:dyDescent="0.45">
      <c r="A69" s="7">
        <v>2022</v>
      </c>
      <c r="B69" s="7">
        <v>1</v>
      </c>
      <c r="C69" s="7" t="s">
        <v>83</v>
      </c>
    </row>
    <row r="70" spans="1:3" x14ac:dyDescent="0.45">
      <c r="A70" s="7">
        <v>2022</v>
      </c>
      <c r="B70" s="7">
        <v>2</v>
      </c>
      <c r="C70" s="7" t="s">
        <v>84</v>
      </c>
    </row>
    <row r="71" spans="1:3" x14ac:dyDescent="0.45">
      <c r="A71" s="7">
        <v>2022</v>
      </c>
      <c r="B71" s="7">
        <v>3</v>
      </c>
      <c r="C71" s="7" t="s">
        <v>85</v>
      </c>
    </row>
    <row r="72" spans="1:3" x14ac:dyDescent="0.45">
      <c r="A72" s="7">
        <v>2022</v>
      </c>
      <c r="B72" s="7">
        <v>4</v>
      </c>
      <c r="C72" s="7" t="s">
        <v>86</v>
      </c>
    </row>
    <row r="73" spans="1:3" x14ac:dyDescent="0.45">
      <c r="A73" s="7">
        <v>2022</v>
      </c>
      <c r="B73" s="7">
        <v>5</v>
      </c>
      <c r="C73" s="7" t="s">
        <v>87</v>
      </c>
    </row>
    <row r="74" spans="1:3" x14ac:dyDescent="0.45">
      <c r="A74" s="7">
        <v>2022</v>
      </c>
      <c r="B74" s="7">
        <v>6</v>
      </c>
      <c r="C74" s="7" t="s">
        <v>88</v>
      </c>
    </row>
    <row r="75" spans="1:3" x14ac:dyDescent="0.45">
      <c r="A75" s="7">
        <v>2022</v>
      </c>
      <c r="B75" s="7">
        <v>7</v>
      </c>
      <c r="C75" s="7" t="s">
        <v>89</v>
      </c>
    </row>
    <row r="76" spans="1:3" x14ac:dyDescent="0.45">
      <c r="A76" s="7">
        <v>2022</v>
      </c>
      <c r="B76" s="7">
        <v>8</v>
      </c>
      <c r="C76" s="7" t="s">
        <v>90</v>
      </c>
    </row>
    <row r="77" spans="1:3" x14ac:dyDescent="0.45">
      <c r="A77" s="7">
        <v>2022</v>
      </c>
      <c r="B77" s="7">
        <v>9</v>
      </c>
      <c r="C77" s="7" t="s">
        <v>91</v>
      </c>
    </row>
    <row r="78" spans="1:3" x14ac:dyDescent="0.45">
      <c r="A78" s="7">
        <v>2022</v>
      </c>
      <c r="B78" s="7">
        <v>10</v>
      </c>
      <c r="C78" s="7" t="s">
        <v>92</v>
      </c>
    </row>
    <row r="79" spans="1:3" x14ac:dyDescent="0.45">
      <c r="A79" s="7">
        <v>2022</v>
      </c>
      <c r="B79" s="7">
        <v>11</v>
      </c>
      <c r="C79" s="7" t="s">
        <v>93</v>
      </c>
    </row>
    <row r="80" spans="1:3" x14ac:dyDescent="0.45">
      <c r="A80" s="7">
        <v>2022</v>
      </c>
      <c r="B80" s="7">
        <v>12</v>
      </c>
      <c r="C80" s="7" t="s">
        <v>94</v>
      </c>
    </row>
    <row r="81" spans="1:3" x14ac:dyDescent="0.45">
      <c r="A81" s="7">
        <v>2023</v>
      </c>
      <c r="B81" s="7">
        <v>1</v>
      </c>
      <c r="C81" s="7" t="s">
        <v>95</v>
      </c>
    </row>
    <row r="82" spans="1:3" x14ac:dyDescent="0.45">
      <c r="A82" s="7">
        <v>2023</v>
      </c>
      <c r="B82" s="7">
        <v>2</v>
      </c>
      <c r="C82" s="7" t="s">
        <v>96</v>
      </c>
    </row>
    <row r="83" spans="1:3" x14ac:dyDescent="0.45">
      <c r="A83" s="7">
        <v>2023</v>
      </c>
      <c r="B83" s="7">
        <v>3</v>
      </c>
      <c r="C83" s="7" t="s">
        <v>97</v>
      </c>
    </row>
    <row r="84" spans="1:3" x14ac:dyDescent="0.45">
      <c r="A84" s="7">
        <v>2023</v>
      </c>
      <c r="B84" s="7">
        <v>4</v>
      </c>
      <c r="C84" s="7" t="s">
        <v>98</v>
      </c>
    </row>
    <row r="85" spans="1:3" x14ac:dyDescent="0.45">
      <c r="A85" s="7">
        <v>2023</v>
      </c>
      <c r="B85" s="7">
        <v>5</v>
      </c>
      <c r="C85" s="7" t="s">
        <v>99</v>
      </c>
    </row>
    <row r="86" spans="1:3" x14ac:dyDescent="0.45">
      <c r="A86" s="7">
        <v>2023</v>
      </c>
      <c r="B86" s="7">
        <v>6</v>
      </c>
      <c r="C86" s="7" t="s">
        <v>100</v>
      </c>
    </row>
    <row r="87" spans="1:3" x14ac:dyDescent="0.45">
      <c r="A87" s="7">
        <v>2023</v>
      </c>
      <c r="B87" s="7">
        <v>7</v>
      </c>
      <c r="C87" s="7" t="s">
        <v>101</v>
      </c>
    </row>
    <row r="88" spans="1:3" x14ac:dyDescent="0.45">
      <c r="A88" s="7">
        <v>2023</v>
      </c>
      <c r="B88" s="7">
        <v>8</v>
      </c>
      <c r="C88" s="7" t="s">
        <v>102</v>
      </c>
    </row>
    <row r="89" spans="1:3" x14ac:dyDescent="0.45">
      <c r="A89" s="7">
        <v>2023</v>
      </c>
      <c r="B89" s="7">
        <v>9</v>
      </c>
      <c r="C89" s="7" t="s">
        <v>103</v>
      </c>
    </row>
    <row r="90" spans="1:3" x14ac:dyDescent="0.45">
      <c r="A90" s="7">
        <v>2023</v>
      </c>
      <c r="B90" s="7">
        <v>10</v>
      </c>
      <c r="C90" s="7" t="s">
        <v>104</v>
      </c>
    </row>
    <row r="91" spans="1:3" x14ac:dyDescent="0.45">
      <c r="A91" s="7">
        <v>2023</v>
      </c>
      <c r="B91" s="7">
        <v>11</v>
      </c>
      <c r="C91" s="7" t="s">
        <v>105</v>
      </c>
    </row>
    <row r="92" spans="1:3" x14ac:dyDescent="0.45">
      <c r="A92" s="7">
        <v>2023</v>
      </c>
      <c r="B92" s="7">
        <v>12</v>
      </c>
      <c r="C92" s="7" t="s">
        <v>106</v>
      </c>
    </row>
    <row r="93" spans="1:3" x14ac:dyDescent="0.45">
      <c r="A93" s="7">
        <v>2024</v>
      </c>
      <c r="B93" s="7">
        <v>1</v>
      </c>
      <c r="C93" s="7" t="s">
        <v>107</v>
      </c>
    </row>
    <row r="94" spans="1:3" x14ac:dyDescent="0.45">
      <c r="A94" s="7">
        <v>2024</v>
      </c>
      <c r="B94" s="7">
        <v>2</v>
      </c>
      <c r="C94" s="7" t="s">
        <v>108</v>
      </c>
    </row>
    <row r="95" spans="1:3" x14ac:dyDescent="0.45">
      <c r="A95" s="7">
        <v>2024</v>
      </c>
      <c r="B95" s="7">
        <v>3</v>
      </c>
      <c r="C95" s="7" t="s">
        <v>109</v>
      </c>
    </row>
    <row r="96" spans="1:3" x14ac:dyDescent="0.45">
      <c r="A96" s="7">
        <v>2024</v>
      </c>
      <c r="B96" s="7">
        <v>4</v>
      </c>
      <c r="C96" s="7" t="s">
        <v>110</v>
      </c>
    </row>
    <row r="97" spans="1:3" x14ac:dyDescent="0.45">
      <c r="A97" s="7">
        <v>2024</v>
      </c>
      <c r="B97" s="7">
        <v>5</v>
      </c>
      <c r="C97" s="7" t="s">
        <v>111</v>
      </c>
    </row>
    <row r="98" spans="1:3" x14ac:dyDescent="0.45">
      <c r="A98" s="7">
        <v>2024</v>
      </c>
      <c r="B98" s="7">
        <v>9</v>
      </c>
      <c r="C98" s="7" t="s">
        <v>112</v>
      </c>
    </row>
    <row r="99" spans="1:3" x14ac:dyDescent="0.45">
      <c r="A99" s="7">
        <v>2024</v>
      </c>
      <c r="B99" s="7">
        <v>10</v>
      </c>
      <c r="C99" s="7" t="s">
        <v>113</v>
      </c>
    </row>
    <row r="100" spans="1:3" x14ac:dyDescent="0.45">
      <c r="A100" s="7">
        <v>2024</v>
      </c>
      <c r="B100" s="7">
        <v>11</v>
      </c>
      <c r="C100" s="7" t="s">
        <v>114</v>
      </c>
    </row>
    <row r="101" spans="1:3" x14ac:dyDescent="0.45">
      <c r="A101" s="7">
        <v>2024</v>
      </c>
      <c r="B101" s="7">
        <v>12</v>
      </c>
      <c r="C101" s="7" t="s">
        <v>115</v>
      </c>
    </row>
    <row r="102" spans="1:3" x14ac:dyDescent="0.45">
      <c r="A102" s="7">
        <v>2025</v>
      </c>
      <c r="B102" s="7">
        <v>1</v>
      </c>
      <c r="C102" s="7" t="s">
        <v>116</v>
      </c>
    </row>
    <row r="103" spans="1:3" x14ac:dyDescent="0.45">
      <c r="A103" s="7">
        <v>2025</v>
      </c>
      <c r="B103" s="7">
        <v>2</v>
      </c>
      <c r="C103" s="7" t="s">
        <v>117</v>
      </c>
    </row>
    <row r="104" spans="1:3" x14ac:dyDescent="0.45">
      <c r="A104" s="7">
        <v>2025</v>
      </c>
      <c r="B104" s="7">
        <v>3</v>
      </c>
      <c r="C104" s="7" t="s">
        <v>118</v>
      </c>
    </row>
    <row r="105" spans="1:3" x14ac:dyDescent="0.45">
      <c r="A105" s="7">
        <v>2025</v>
      </c>
      <c r="B105" s="7">
        <v>4</v>
      </c>
      <c r="C105" s="7" t="s">
        <v>119</v>
      </c>
    </row>
    <row r="106" spans="1:3" x14ac:dyDescent="0.45">
      <c r="A106" s="7">
        <v>2025</v>
      </c>
      <c r="B106" s="7">
        <v>5</v>
      </c>
      <c r="C106" s="7" t="s">
        <v>120</v>
      </c>
    </row>
    <row r="107" spans="1:3" x14ac:dyDescent="0.45">
      <c r="A107" s="7">
        <v>2025</v>
      </c>
      <c r="B107" s="7">
        <v>6</v>
      </c>
      <c r="C107" s="7" t="s">
        <v>121</v>
      </c>
    </row>
    <row r="108" spans="1:3" x14ac:dyDescent="0.45">
      <c r="A108" s="7">
        <v>2025</v>
      </c>
      <c r="B108" s="7">
        <v>7</v>
      </c>
      <c r="C108" s="7" t="s">
        <v>122</v>
      </c>
    </row>
    <row r="109" spans="1:3" x14ac:dyDescent="0.45">
      <c r="A109" s="7">
        <v>2025</v>
      </c>
      <c r="B109" s="7">
        <v>8</v>
      </c>
      <c r="C109" s="7" t="s">
        <v>123</v>
      </c>
    </row>
    <row r="110" spans="1:3" x14ac:dyDescent="0.45">
      <c r="A110" s="7">
        <v>2025</v>
      </c>
      <c r="B110" s="7">
        <v>9</v>
      </c>
      <c r="C110" s="7" t="s">
        <v>124</v>
      </c>
    </row>
    <row r="111" spans="1:3" x14ac:dyDescent="0.45">
      <c r="A111" s="7">
        <v>2025</v>
      </c>
      <c r="B111" s="7">
        <v>10</v>
      </c>
      <c r="C111" s="7" t="s">
        <v>125</v>
      </c>
    </row>
    <row r="112" spans="1:3" x14ac:dyDescent="0.45">
      <c r="A112" s="7">
        <v>2025</v>
      </c>
      <c r="B112" s="7">
        <v>11</v>
      </c>
      <c r="C112" s="7" t="s">
        <v>126</v>
      </c>
    </row>
    <row r="113" spans="1:3" x14ac:dyDescent="0.45">
      <c r="A113" s="7">
        <v>2025</v>
      </c>
      <c r="B113" s="7">
        <v>12</v>
      </c>
      <c r="C113" s="7" t="s">
        <v>127</v>
      </c>
    </row>
    <row r="114" spans="1:3" x14ac:dyDescent="0.45">
      <c r="A114" s="7">
        <v>2026</v>
      </c>
      <c r="B114" s="7">
        <v>1</v>
      </c>
      <c r="C114" s="7" t="s">
        <v>128</v>
      </c>
    </row>
    <row r="115" spans="1:3" x14ac:dyDescent="0.45">
      <c r="A115" s="7">
        <v>2026</v>
      </c>
      <c r="B115" s="7">
        <v>2</v>
      </c>
      <c r="C115" s="7" t="s">
        <v>129</v>
      </c>
    </row>
    <row r="116" spans="1:3" x14ac:dyDescent="0.45">
      <c r="A116" s="7">
        <v>2026</v>
      </c>
      <c r="B116" s="7">
        <v>3</v>
      </c>
      <c r="C116" s="7" t="s">
        <v>130</v>
      </c>
    </row>
    <row r="117" spans="1:3" x14ac:dyDescent="0.45">
      <c r="A117" s="7">
        <v>2026</v>
      </c>
      <c r="B117" s="7">
        <v>4</v>
      </c>
      <c r="C117" s="7" t="s">
        <v>131</v>
      </c>
    </row>
    <row r="118" spans="1:3" x14ac:dyDescent="0.45">
      <c r="A118" s="7">
        <v>2026</v>
      </c>
      <c r="B118" s="7">
        <v>5</v>
      </c>
      <c r="C118" s="7" t="s">
        <v>132</v>
      </c>
    </row>
    <row r="119" spans="1:3" x14ac:dyDescent="0.45">
      <c r="A119" s="7">
        <v>2026</v>
      </c>
      <c r="B119" s="7">
        <v>6</v>
      </c>
      <c r="C119" s="7" t="s">
        <v>133</v>
      </c>
    </row>
    <row r="120" spans="1:3" x14ac:dyDescent="0.45">
      <c r="A120" s="7">
        <v>2026</v>
      </c>
      <c r="B120" s="7">
        <v>9</v>
      </c>
      <c r="C120" s="7" t="s">
        <v>134</v>
      </c>
    </row>
    <row r="121" spans="1:3" x14ac:dyDescent="0.45">
      <c r="A121" s="7">
        <v>2026</v>
      </c>
      <c r="B121" s="7">
        <v>10</v>
      </c>
      <c r="C121" s="7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/>
  </sheetViews>
  <sheetFormatPr defaultColWidth="8.59765625" defaultRowHeight="14.25" x14ac:dyDescent="0.45"/>
  <cols>
    <col min="1" max="1" width="8" customWidth="1"/>
    <col min="2" max="2" width="48" customWidth="1"/>
    <col min="3" max="3" width="50" customWidth="1"/>
    <col min="4" max="4" width="10" customWidth="1"/>
    <col min="5" max="5" width="28" customWidth="1"/>
  </cols>
  <sheetData>
    <row r="1" spans="1:5" x14ac:dyDescent="0.45">
      <c r="A1" s="6" t="s">
        <v>136</v>
      </c>
      <c r="B1" s="6" t="s">
        <v>137</v>
      </c>
      <c r="C1" s="6" t="s">
        <v>138</v>
      </c>
      <c r="D1" s="6" t="s">
        <v>139</v>
      </c>
      <c r="E1" s="6" t="s">
        <v>140</v>
      </c>
    </row>
    <row r="2" spans="1:5" x14ac:dyDescent="0.45">
      <c r="A2" s="7" t="s">
        <v>141</v>
      </c>
      <c r="B2" s="7" t="s">
        <v>142</v>
      </c>
      <c r="C2" s="7" t="s">
        <v>143</v>
      </c>
      <c r="D2" s="7" t="s">
        <v>144</v>
      </c>
      <c r="E2" s="7" t="s">
        <v>145</v>
      </c>
    </row>
    <row r="3" spans="1:5" x14ac:dyDescent="0.45">
      <c r="A3" s="7" t="s">
        <v>146</v>
      </c>
      <c r="B3" s="7" t="s">
        <v>147</v>
      </c>
      <c r="C3" s="7" t="s">
        <v>148</v>
      </c>
      <c r="D3" s="7" t="s">
        <v>144</v>
      </c>
      <c r="E3" s="7" t="s">
        <v>149</v>
      </c>
    </row>
    <row r="4" spans="1:5" x14ac:dyDescent="0.45">
      <c r="A4" s="7" t="s">
        <v>150</v>
      </c>
      <c r="B4" s="7" t="s">
        <v>151</v>
      </c>
      <c r="C4" s="7" t="s">
        <v>152</v>
      </c>
      <c r="D4" s="7" t="s">
        <v>153</v>
      </c>
      <c r="E4" s="7" t="s">
        <v>154</v>
      </c>
    </row>
    <row r="5" spans="1:5" x14ac:dyDescent="0.45">
      <c r="A5" s="7" t="s">
        <v>155</v>
      </c>
      <c r="B5" s="7" t="s">
        <v>156</v>
      </c>
      <c r="C5" s="7" t="s">
        <v>157</v>
      </c>
      <c r="D5" s="7" t="s">
        <v>153</v>
      </c>
      <c r="E5" s="7" t="s">
        <v>158</v>
      </c>
    </row>
    <row r="6" spans="1:5" x14ac:dyDescent="0.45">
      <c r="A6" s="7" t="s">
        <v>159</v>
      </c>
      <c r="B6" s="7" t="s">
        <v>160</v>
      </c>
      <c r="C6" s="7" t="s">
        <v>161</v>
      </c>
      <c r="D6" s="7" t="s">
        <v>153</v>
      </c>
      <c r="E6" s="7" t="s">
        <v>162</v>
      </c>
    </row>
    <row r="7" spans="1:5" x14ac:dyDescent="0.45">
      <c r="A7" s="7" t="s">
        <v>163</v>
      </c>
      <c r="B7" s="7" t="s">
        <v>164</v>
      </c>
      <c r="C7" s="7" t="s">
        <v>165</v>
      </c>
      <c r="D7" s="7" t="s">
        <v>153</v>
      </c>
      <c r="E7" s="7" t="s">
        <v>166</v>
      </c>
    </row>
    <row r="8" spans="1:5" x14ac:dyDescent="0.45">
      <c r="A8" s="7" t="s">
        <v>167</v>
      </c>
      <c r="B8" s="7" t="s">
        <v>168</v>
      </c>
      <c r="C8" s="7" t="s">
        <v>161</v>
      </c>
      <c r="D8" s="7" t="s">
        <v>153</v>
      </c>
      <c r="E8" s="7" t="s">
        <v>169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Image_Availability</vt:lpstr>
      <vt:lpstr>Valid_Year_Month</vt:lpstr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aishwarya jagtap</cp:lastModifiedBy>
  <cp:revision>0</cp:revision>
  <dcterms:created xsi:type="dcterms:W3CDTF">2026-10-15T12:56:18Z</dcterms:created>
  <dcterms:modified xsi:type="dcterms:W3CDTF">2026-10-16T06:10:39Z</dcterms:modified>
  <dc:language>en-US</dc:language>
</cp:coreProperties>
</file>